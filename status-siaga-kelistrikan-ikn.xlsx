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Status Siaga" sheetId="2" state="visible" r:id="rId4"/>
    <sheet name="Referensi Lokasi" sheetId="3" state="visible" r:id="rId5"/>
    <sheet name="Rincian Personil" sheetId="4" state="visible" r:id="rId6"/>
    <sheet name="Jadw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Jangan ubah nama lokasi — dashboard mencocokkan nama ini persis.</t>
        </r>
      </text>
    </comment>
    <comment ref="B1" authorId="0">
      <text>
        <r>
          <rPr>
            <sz val="10"/>
            <rFont val="Arial"/>
            <family val="2"/>
          </rPr>
          <t xml:space="preserve">Isi salah satu: Normal / Siaga / Gangguan (pakai dropdown).</t>
        </r>
      </text>
    </comment>
    <comment ref="F1" authorId="0">
      <text>
        <r>
          <rPr>
            <sz val="10"/>
            <rFont val="Arial"/>
            <family val="2"/>
          </rPr>
          <t xml:space="preserve">Jumlah personil yang sudah check-in di lokasi ini (angka).</t>
        </r>
      </text>
    </comment>
    <comment ref="H1" authorId="0">
      <text>
        <r>
          <rPr>
            <sz val="10"/>
            <rFont val="Arial"/>
            <family val="2"/>
          </rPr>
          <t xml:space="preserve">Opsional: waktu/keterangan update terakhir, mis. 17 Agt 08:15</t>
        </r>
      </text>
    </comment>
  </commentList>
</comments>
</file>

<file path=xl/sharedStrings.xml><?xml version="1.0" encoding="utf-8"?>
<sst xmlns="http://schemas.openxmlformats.org/spreadsheetml/2006/main" count="196" uniqueCount="114">
  <si>
    <t xml:space="preserve">SIAGA KELISTRIKAN KIPP IKN — HUT RI KE-81</t>
  </si>
  <si>
    <t xml:space="preserve">UID KALTIMRA — UP3 Nusantara · Sumber: rapat koordinasi bersama Otorita IKN, 29 Juli 2026</t>
  </si>
  <si>
    <t xml:space="preserve">APA INI</t>
  </si>
  <si>
    <t xml:space="preserve">Spreadsheet ini adalah sumber data untuk dashboard real-time "Siaga Kelistrikan KIPP IKN". Sheet Status Siaga diisi ulang oleh petugas di lapangan, lalu dipublikasikan ke web sebagai CSV agar dashboard bisa membacanya secara otomatis.</t>
  </si>
  <si>
    <t xml:space="preserve">ISI WORKBOOK</t>
  </si>
  <si>
    <t xml:space="preserve">  1. Status Siaga</t>
  </si>
  <si>
    <t xml:space="preserve">Sheet YANG DIEDIT petugas selama 14–17 Agustus. Isi status penyulang/genset/UPS/COS dan jumlah personil hadir tiap lokasi. Kolom berlatar kuning boleh diubah; kolom Lokasi jangan diubah.</t>
  </si>
  <si>
    <t xml:space="preserve">  2. Referensi Lokasi</t>
  </si>
  <si>
    <t xml:space="preserve">Spesifikasi tetap tiap lokasi (penyulang, genset, UPS, COS) — dari Slide 6–10. Tidak perlu diedit.</t>
  </si>
  <si>
    <t xml:space="preserve">  3. Rincian Personil</t>
  </si>
  <si>
    <t xml:space="preserve">Rincian peran &amp; jumlah personil siaga per lokasi — dari Slide 6–10. Tidak perlu diedit.</t>
  </si>
  <si>
    <t xml:space="preserve">  4. Jadwal</t>
  </si>
  <si>
    <t xml:space="preserve">Jadwal 6 kegiatan HUT RI Ke-81, 14–17 Agustus 2026 — dari Slide 4. Tidak perlu diedit.</t>
  </si>
  <si>
    <t xml:space="preserve">CARA HUBUNGKAN KE DASHBOARD</t>
  </si>
  <si>
    <t xml:space="preserve">  Langkah 1</t>
  </si>
  <si>
    <t xml:space="preserve">Unggah file ini ke Google Drive, buka dengan Google Sheets (atau File &gt; Impor jika sudah punya Sheet kosong).</t>
  </si>
  <si>
    <t xml:space="preserve">  Langkah 2</t>
  </si>
  <si>
    <t xml:space="preserve">Di Google Sheets: File → Bagikan → Publikasikan ke web. Pilih sheet "Status Siaga" saja, format CSV, klik Publikasikan.</t>
  </si>
  <si>
    <t xml:space="preserve">  Langkah 3</t>
  </si>
  <si>
    <t xml:space="preserve">Salin tautan yang muncul, tempel ke kolom pengaturan (ikon ⚙) pada dashboard, klik Simpan &amp; Hubungkan.</t>
  </si>
  <si>
    <t xml:space="preserve">  Langkah 4</t>
  </si>
  <si>
    <t xml:space="preserve">Dashboard akan menyegarkan data tiap 15–60 detik (bisa diatur) sesuai isi sheet Status Siaga.</t>
  </si>
  <si>
    <t xml:space="preserve">STATUS YANG BERLAKU</t>
  </si>
  <si>
    <t xml:space="preserve">Normal (hijau) = kondisi baik · Siaga (kuning) = standby/perlu dipantau · Gangguan (merah) = ada masalah, butuh tindakan.</t>
  </si>
  <si>
    <t xml:space="preserve">CATATAN</t>
  </si>
  <si>
    <t xml:space="preserve">Rincian 5 lokasi (Slide 6–10) menjumlahkan 69 personil siaga, sedangkan Ringkasan Eksekutif (Slide 3) mencatat 35 orang. Selisih ini ada pada dokumen sumber — mohon diverifikasi ke tim sebelum hari-H.</t>
  </si>
  <si>
    <t xml:space="preserve">Lokasi</t>
  </si>
  <si>
    <t xml:space="preserve">Status_Penyulang</t>
  </si>
  <si>
    <t xml:space="preserve">Status_Genset</t>
  </si>
  <si>
    <t xml:space="preserve">Status_UPS</t>
  </si>
  <si>
    <t xml:space="preserve">Status_COS</t>
  </si>
  <si>
    <t xml:space="preserve">Personil_Hadir</t>
  </si>
  <si>
    <t xml:space="preserve">Catatan</t>
  </si>
  <si>
    <t xml:space="preserve">Update_Terakhir</t>
  </si>
  <si>
    <t xml:space="preserve">Kantor OIKN</t>
  </si>
  <si>
    <t xml:space="preserve">Siaga</t>
  </si>
  <si>
    <t xml:space="preserve">Amphitheater Plaza Ceremony</t>
  </si>
  <si>
    <t xml:space="preserve">Taman Kusuma Bangsa</t>
  </si>
  <si>
    <t xml:space="preserve">Lapangan Plaza Ceremony</t>
  </si>
  <si>
    <t xml:space="preserve">MFH Kemenko.3</t>
  </si>
  <si>
    <t xml:space="preserve">RINGKASAN</t>
  </si>
  <si>
    <t xml:space="preserve">Total Personil Hadir</t>
  </si>
  <si>
    <t xml:space="preserve">Total Personil Dibutuhkan</t>
  </si>
  <si>
    <t xml:space="preserve">% Kehadiran</t>
  </si>
  <si>
    <t xml:space="preserve">Catatan: Total Personil Dibutuhkan mengacu ke sheet Referensi Lokasi (rincian Slide 6–10 = 69 orang; Ringkasan Eksekutif Slide 3 mencatat 35 orang — cek ke tim sebelum dipakai).</t>
  </si>
  <si>
    <t xml:space="preserve">Kegiatan</t>
  </si>
  <si>
    <t xml:space="preserve">Jadwal</t>
  </si>
  <si>
    <t xml:space="preserve">Penyulang Utama</t>
  </si>
  <si>
    <t xml:space="preserve">Penyulang Backup</t>
  </si>
  <si>
    <t xml:space="preserve">Genset Backup</t>
  </si>
  <si>
    <t xml:space="preserve">UPS Backup</t>
  </si>
  <si>
    <t xml:space="preserve">COS</t>
  </si>
  <si>
    <t xml:space="preserve">Personil Siaga (Target)</t>
  </si>
  <si>
    <t xml:space="preserve">Pengukuhan Paskibraka</t>
  </si>
  <si>
    <t xml:space="preserve">Jumat, 14 Agt 2026 · 19.00–20.00 WITA</t>
  </si>
  <si>
    <t xml:space="preserve">NST.03</t>
  </si>
  <si>
    <t xml:space="preserve">NST.02 GH.01</t>
  </si>
  <si>
    <t xml:space="preserve">Genset Pelanggan 500 kW</t>
  </si>
  <si>
    <t xml:space="preserve">20 kVA (Sound, Videotron &amp; Lighting)</t>
  </si>
  <si>
    <t xml:space="preserve">-</t>
  </si>
  <si>
    <t xml:space="preserve">Merdeka Run &amp; Nusantara Vaganza</t>
  </si>
  <si>
    <t xml:space="preserve">Sabtu, 15 Agt 2026 · 19.00–selesai WITA</t>
  </si>
  <si>
    <t xml:space="preserve">NST.06</t>
  </si>
  <si>
    <t xml:space="preserve">NST.03 GH.1</t>
  </si>
  <si>
    <t xml:space="preserve">Genset Pel 500 kVA</t>
  </si>
  <si>
    <t xml:space="preserve">20 kVA (Amphitheater)</t>
  </si>
  <si>
    <t xml:space="preserve">Renungan Suci</t>
  </si>
  <si>
    <t xml:space="preserve">Minggu, 16 Agt 2026 · 21.00–22.00 WITA</t>
  </si>
  <si>
    <t xml:space="preserve">NST.03 GD TKB</t>
  </si>
  <si>
    <t xml:space="preserve">NST.02 GH.1</t>
  </si>
  <si>
    <t xml:space="preserve">Genset Pelanggan 250 kVA</t>
  </si>
  <si>
    <t xml:space="preserve">20 kVA</t>
  </si>
  <si>
    <t xml:space="preserve">1 (Satu) Bh</t>
  </si>
  <si>
    <t xml:space="preserve">Pengibaran &amp; Penurunan Bendera</t>
  </si>
  <si>
    <t xml:space="preserve">Senin, 17 Agt 2026 · 06.30–09.30 &amp; 16.00–17.30 WITA</t>
  </si>
  <si>
    <t xml:space="preserve">Genset PLN 200 kVA + Genset EO 200 kVA</t>
  </si>
  <si>
    <t xml:space="preserve">200 kVA (Sound &amp; Videotron)</t>
  </si>
  <si>
    <t xml:space="preserve">Detik-Detik Proklamasi (Online)</t>
  </si>
  <si>
    <t xml:space="preserve">Senin, 17 Agt 2026 · 11.00–selesai WITA</t>
  </si>
  <si>
    <t xml:space="preserve">Genset Pelanggan 350 kVA</t>
  </si>
  <si>
    <t xml:space="preserve">100 kVA (Sound &amp; Videotron)</t>
  </si>
  <si>
    <t xml:space="preserve">TOTAL</t>
  </si>
  <si>
    <t xml:space="preserve">Peran / Tugas</t>
  </si>
  <si>
    <t xml:space="preserve">Jumlah</t>
  </si>
  <si>
    <t xml:space="preserve">Keterangan</t>
  </si>
  <si>
    <t xml:space="preserve">Standby GHS</t>
  </si>
  <si>
    <t xml:space="preserve">Standby UPS</t>
  </si>
  <si>
    <t xml:space="preserve">Standby GD OIKN</t>
  </si>
  <si>
    <t xml:space="preserve">Standby GH.01</t>
  </si>
  <si>
    <t xml:space="preserve">Standby GD Sumbu Timur</t>
  </si>
  <si>
    <t xml:space="preserve">Open OG PLTS</t>
  </si>
  <si>
    <t xml:space="preserve">Standby GD Plaza Ceremony</t>
  </si>
  <si>
    <t xml:space="preserve">GHS</t>
  </si>
  <si>
    <t xml:space="preserve">Standby GD TKB</t>
  </si>
  <si>
    <t xml:space="preserve">Standby COS</t>
  </si>
  <si>
    <t xml:space="preserve">Standby Gardu Kemenko.1</t>
  </si>
  <si>
    <t xml:space="preserve">Standby Gardu Kemenko.3</t>
  </si>
  <si>
    <t xml:space="preserve">TOTAL PERSONIL</t>
  </si>
  <si>
    <t xml:space="preserve">Catatan: total di atas (69 orang) merujuk rincian per lokasi pada Slide 6–10. Ringkasan Eksekutif (Slide 3) mencatat 35 orang — mohon diverifikasi ke tim sebelum digunakan.</t>
  </si>
  <si>
    <t xml:space="preserve">Hari / Tanggal</t>
  </si>
  <si>
    <t xml:space="preserve">Waktu (WITA)</t>
  </si>
  <si>
    <t xml:space="preserve">Jumat, 14 Agustus 2026</t>
  </si>
  <si>
    <t xml:space="preserve">19.00 – 20.00</t>
  </si>
  <si>
    <t xml:space="preserve">Sabtu, 15 Agustus 2026</t>
  </si>
  <si>
    <t xml:space="preserve">19.00 – selesai</t>
  </si>
  <si>
    <t xml:space="preserve">Minggu, 16 Agustus 2026</t>
  </si>
  <si>
    <t xml:space="preserve">21.00 – 22.00</t>
  </si>
  <si>
    <t xml:space="preserve">Upacara Pengibaran Bendera</t>
  </si>
  <si>
    <t xml:space="preserve">Senin, 17 Agustus 2026</t>
  </si>
  <si>
    <t xml:space="preserve">06.30 – 09.30</t>
  </si>
  <si>
    <t xml:space="preserve">Menyaksikan Detik-Detik Proklamasi (Online)</t>
  </si>
  <si>
    <t xml:space="preserve">11.00 – selesai</t>
  </si>
  <si>
    <t xml:space="preserve">Upacara Penurunan Bendera</t>
  </si>
  <si>
    <t xml:space="preserve">16.00 – 17.30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</si>
</sst>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6B"/>
      <name val="Arial"/>
      <family val="0"/>
      <charset val="1"/>
    </font>
    <font>
      <i val="true"/>
      <sz val="10.5"/>
      <color rgb="FF5B6B7C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C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7A8C"/>
        <bgColor rgb="FF008080"/>
      </patternFill>
    </fill>
    <fill>
      <patternFill patternType="solid">
        <fgColor rgb="FF1B3A6B"/>
        <bgColor rgb="FF333399"/>
      </patternFill>
    </fill>
    <fill>
      <patternFill patternType="solid">
        <fgColor rgb="FFFFF7E0"/>
        <bgColor rgb="FFF4F7FB"/>
      </patternFill>
    </fill>
    <fill>
      <patternFill patternType="solid">
        <fgColor rgb="FFF4F7FB"/>
        <bgColor rgb="FFFFFFFF"/>
      </patternFill>
    </fill>
    <fill>
      <patternFill patternType="solid">
        <fgColor rgb="FFE4EBF3"/>
        <bgColor rgb="FFF4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EE7"/>
      </left>
      <right style="thin">
        <color rgb="FFD6DEE7"/>
      </right>
      <top style="thin">
        <color rgb="FFD6DEE7"/>
      </top>
      <bottom style="thin">
        <color rgb="FFD6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C0C0C0"/>
      <rgbColor rgb="FF808080"/>
      <rgbColor rgb="FF9999FF"/>
      <rgbColor rgb="FF993366"/>
      <rgbColor rgb="FFFFF7E0"/>
      <rgbColor rgb="FFE4EBF3"/>
      <rgbColor rgb="FF660066"/>
      <rgbColor rgb="FFFF8080"/>
      <rgbColor rgb="FF0066CC"/>
      <rgbColor rgb="FFD6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B6B7C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10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45" hidden="false" customHeight="true" outlineLevel="0" collapsed="false">
      <c r="B5" s="4" t="s">
        <v>2</v>
      </c>
      <c r="C5" s="5" t="s">
        <v>3</v>
      </c>
    </row>
    <row r="6" customFormat="false" ht="19.5" hidden="false" customHeight="true" outlineLevel="0" collapsed="false">
      <c r="B6" s="6" t="s">
        <v>4</v>
      </c>
      <c r="C6" s="6"/>
    </row>
    <row r="7" customFormat="false" ht="30" hidden="false" customHeight="true" outlineLevel="0" collapsed="false">
      <c r="B7" s="4" t="s">
        <v>5</v>
      </c>
      <c r="C7" s="5" t="s">
        <v>6</v>
      </c>
    </row>
    <row r="8" customFormat="false" ht="30" hidden="false" customHeight="true" outlineLevel="0" collapsed="false">
      <c r="B8" s="4" t="s">
        <v>7</v>
      </c>
      <c r="C8" s="5" t="s">
        <v>8</v>
      </c>
    </row>
    <row r="9" customFormat="false" ht="30" hidden="false" customHeight="true" outlineLevel="0" collapsed="false">
      <c r="B9" s="4" t="s">
        <v>9</v>
      </c>
      <c r="C9" s="5" t="s">
        <v>10</v>
      </c>
    </row>
    <row r="10" customFormat="false" ht="30" hidden="false" customHeight="true" outlineLevel="0" collapsed="false">
      <c r="B10" s="4" t="s">
        <v>11</v>
      </c>
      <c r="C10" s="5" t="s">
        <v>12</v>
      </c>
    </row>
    <row r="11" customFormat="false" ht="19.5" hidden="false" customHeight="true" outlineLevel="0" collapsed="false">
      <c r="B11" s="6" t="s">
        <v>13</v>
      </c>
      <c r="C11" s="6"/>
    </row>
    <row r="12" customFormat="false" ht="30" hidden="false" customHeight="true" outlineLevel="0" collapsed="false">
      <c r="B12" s="4" t="s">
        <v>14</v>
      </c>
      <c r="C12" s="5" t="s">
        <v>15</v>
      </c>
    </row>
    <row r="13" customFormat="false" ht="30" hidden="false" customHeight="true" outlineLevel="0" collapsed="false">
      <c r="B13" s="4" t="s">
        <v>16</v>
      </c>
      <c r="C13" s="5" t="s">
        <v>17</v>
      </c>
    </row>
    <row r="14" customFormat="false" ht="30" hidden="false" customHeight="true" outlineLevel="0" collapsed="false">
      <c r="B14" s="4" t="s">
        <v>18</v>
      </c>
      <c r="C14" s="5" t="s">
        <v>19</v>
      </c>
    </row>
    <row r="15" customFormat="false" ht="30" hidden="false" customHeight="true" outlineLevel="0" collapsed="false">
      <c r="B15" s="4" t="s">
        <v>20</v>
      </c>
      <c r="C15" s="5" t="s">
        <v>21</v>
      </c>
    </row>
    <row r="16" customFormat="false" ht="30" hidden="false" customHeight="true" outlineLevel="0" collapsed="false">
      <c r="B16" s="4" t="s">
        <v>22</v>
      </c>
      <c r="C16" s="5" t="s">
        <v>23</v>
      </c>
    </row>
    <row r="17" customFormat="false" ht="45" hidden="false" customHeight="true" outlineLevel="0" collapsed="false">
      <c r="B17" s="4" t="s">
        <v>24</v>
      </c>
      <c r="C17" s="5" t="s">
        <v>25</v>
      </c>
    </row>
  </sheetData>
  <mergeCells count="2">
    <mergeCell ref="B6:C6"/>
    <mergeCell ref="B11:C1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26"/>
    <col collapsed="false" customWidth="true" hidden="false" outlineLevel="0" max="8" min="8" style="1" width="18"/>
  </cols>
  <sheetData>
    <row r="1" customFormat="false" ht="33.75" hidden="false" customHeight="true" outlineLevel="0" collapsed="false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</row>
    <row r="2" customFormat="false" ht="15" hidden="false" customHeight="true" outlineLevel="0" collapsed="false">
      <c r="A2" s="8" t="s">
        <v>34</v>
      </c>
      <c r="B2" s="9" t="s">
        <v>35</v>
      </c>
      <c r="C2" s="9" t="s">
        <v>35</v>
      </c>
      <c r="D2" s="9" t="s">
        <v>35</v>
      </c>
      <c r="E2" s="9"/>
      <c r="F2" s="9" t="n">
        <v>0</v>
      </c>
      <c r="G2" s="10"/>
      <c r="H2" s="10"/>
    </row>
    <row r="3" customFormat="false" ht="15" hidden="false" customHeight="true" outlineLevel="0" collapsed="false">
      <c r="A3" s="8" t="s">
        <v>36</v>
      </c>
      <c r="B3" s="9" t="s">
        <v>35</v>
      </c>
      <c r="C3" s="9" t="s">
        <v>35</v>
      </c>
      <c r="D3" s="9" t="s">
        <v>35</v>
      </c>
      <c r="E3" s="9"/>
      <c r="F3" s="9" t="n">
        <v>0</v>
      </c>
      <c r="G3" s="10"/>
      <c r="H3" s="10"/>
    </row>
    <row r="4" customFormat="false" ht="15" hidden="false" customHeight="true" outlineLevel="0" collapsed="false">
      <c r="A4" s="8" t="s">
        <v>37</v>
      </c>
      <c r="B4" s="9" t="s">
        <v>35</v>
      </c>
      <c r="C4" s="9" t="s">
        <v>35</v>
      </c>
      <c r="D4" s="9" t="s">
        <v>35</v>
      </c>
      <c r="E4" s="9" t="s">
        <v>35</v>
      </c>
      <c r="F4" s="9" t="n">
        <v>0</v>
      </c>
      <c r="G4" s="10"/>
      <c r="H4" s="10"/>
    </row>
    <row r="5" customFormat="false" ht="15" hidden="false" customHeight="true" outlineLevel="0" collapsed="false">
      <c r="A5" s="8" t="s">
        <v>38</v>
      </c>
      <c r="B5" s="9" t="s">
        <v>35</v>
      </c>
      <c r="C5" s="9" t="s">
        <v>35</v>
      </c>
      <c r="D5" s="9" t="s">
        <v>35</v>
      </c>
      <c r="E5" s="9" t="s">
        <v>35</v>
      </c>
      <c r="F5" s="9" t="n">
        <v>0</v>
      </c>
      <c r="G5" s="10"/>
      <c r="H5" s="10"/>
    </row>
    <row r="6" customFormat="false" ht="15" hidden="false" customHeight="true" outlineLevel="0" collapsed="false">
      <c r="A6" s="8" t="s">
        <v>39</v>
      </c>
      <c r="B6" s="9" t="s">
        <v>35</v>
      </c>
      <c r="C6" s="9" t="s">
        <v>35</v>
      </c>
      <c r="D6" s="9" t="s">
        <v>35</v>
      </c>
      <c r="E6" s="9"/>
      <c r="F6" s="9" t="n">
        <v>0</v>
      </c>
      <c r="G6" s="10"/>
      <c r="H6" s="10"/>
    </row>
    <row r="8" customFormat="false" ht="19.5" hidden="false" customHeight="true" outlineLevel="0" collapsed="false">
      <c r="A8" s="6" t="s">
        <v>40</v>
      </c>
      <c r="B8" s="6"/>
    </row>
    <row r="9" customFormat="false" ht="15" hidden="false" customHeight="true" outlineLevel="0" collapsed="false">
      <c r="A9" s="11" t="s">
        <v>41</v>
      </c>
      <c r="B9" s="12" t="n">
        <f aca="false">SUM(F2:F6)</f>
        <v>0</v>
      </c>
    </row>
    <row r="10" customFormat="false" ht="15" hidden="false" customHeight="true" outlineLevel="0" collapsed="false">
      <c r="A10" s="11" t="s">
        <v>42</v>
      </c>
      <c r="B10" s="12" t="n">
        <f aca="false">SUM('Referensi Lokasi'!I2:I6)</f>
        <v>69</v>
      </c>
    </row>
    <row r="11" customFormat="false" ht="15" hidden="false" customHeight="true" outlineLevel="0" collapsed="false">
      <c r="A11" s="11" t="s">
        <v>43</v>
      </c>
      <c r="B11" s="13" t="n">
        <f aca="false">IFERROR(B9/B10,0)</f>
        <v>0</v>
      </c>
    </row>
    <row r="13" customFormat="false" ht="27.75" hidden="false" customHeight="true" outlineLevel="0" collapsed="false">
      <c r="A13" s="14" t="s">
        <v>44</v>
      </c>
      <c r="B13" s="14"/>
      <c r="C13" s="14"/>
      <c r="D13" s="14"/>
      <c r="E13" s="14"/>
      <c r="F13" s="14"/>
      <c r="G13" s="14"/>
      <c r="H13" s="14"/>
    </row>
  </sheetData>
  <mergeCells count="2">
    <mergeCell ref="A8:B8"/>
    <mergeCell ref="A13:H13"/>
  </mergeCells>
  <conditionalFormatting sqref="B2:B6">
    <cfRule type="cellIs" priority="2" operator="equal" aboveAverage="0" equalAverage="0" bottom="0" percent="0" rank="0" text="" dxfId="0">
      <formula>"Normal"</formula>
    </cfRule>
    <cfRule type="cellIs" priority="3" operator="equal" aboveAverage="0" equalAverage="0" bottom="0" percent="0" rank="0" text="" dxfId="1">
      <formula>"Siaga"</formula>
    </cfRule>
    <cfRule type="cellIs" priority="4" operator="equal" aboveAverage="0" equalAverage="0" bottom="0" percent="0" rank="0" text="" dxfId="2">
      <formula>"Gangguan"</formula>
    </cfRule>
  </conditionalFormatting>
  <conditionalFormatting sqref="C2:C6">
    <cfRule type="cellIs" priority="5" operator="equal" aboveAverage="0" equalAverage="0" bottom="0" percent="0" rank="0" text="" dxfId="0">
      <formula>"Normal"</formula>
    </cfRule>
    <cfRule type="cellIs" priority="6" operator="equal" aboveAverage="0" equalAverage="0" bottom="0" percent="0" rank="0" text="" dxfId="1">
      <formula>"Siaga"</formula>
    </cfRule>
    <cfRule type="cellIs" priority="7" operator="equal" aboveAverage="0" equalAverage="0" bottom="0" percent="0" rank="0" text="" dxfId="2">
      <formula>"Gangguan"</formula>
    </cfRule>
  </conditionalFormatting>
  <conditionalFormatting sqref="D2:D6">
    <cfRule type="cellIs" priority="8" operator="equal" aboveAverage="0" equalAverage="0" bottom="0" percent="0" rank="0" text="" dxfId="0">
      <formula>"Normal"</formula>
    </cfRule>
    <cfRule type="cellIs" priority="9" operator="equal" aboveAverage="0" equalAverage="0" bottom="0" percent="0" rank="0" text="" dxfId="1">
      <formula>"Siaga"</formula>
    </cfRule>
    <cfRule type="cellIs" priority="10" operator="equal" aboveAverage="0" equalAverage="0" bottom="0" percent="0" rank="0" text="" dxfId="2">
      <formula>"Gangguan"</formula>
    </cfRule>
  </conditionalFormatting>
  <conditionalFormatting sqref="E2:E6">
    <cfRule type="cellIs" priority="11" operator="equal" aboveAverage="0" equalAverage="0" bottom="0" percent="0" rank="0" text="" dxfId="0">
      <formula>"Normal"</formula>
    </cfRule>
    <cfRule type="cellIs" priority="12" operator="equal" aboveAverage="0" equalAverage="0" bottom="0" percent="0" rank="0" text="" dxfId="1">
      <formula>"Siaga"</formula>
    </cfRule>
    <cfRule type="cellIs" priority="13" operator="equal" aboveAverage="0" equalAverage="0" bottom="0" percent="0" rank="0" text="" dxfId="2">
      <formula>"Gangguan"</formula>
    </cfRule>
  </conditionalFormatting>
  <dataValidations count="1">
    <dataValidation allowBlank="true" error="Pilih salah satu: Normal, Siaga, atau Gangguan." errorStyle="stop" errorTitle="Nilai tidak valid" operator="between" showDropDown="false" showErrorMessage="false" showInputMessage="false" sqref="B2:E6" type="list">
      <formula1>"Normal,Siaga,Gangguan"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5" min="4" style="1" width="15"/>
    <col collapsed="false" customWidth="true" hidden="false" outlineLevel="0" max="7" min="6" style="1" width="30"/>
    <col collapsed="false" customWidth="true" hidden="false" outlineLevel="0" max="9" min="8" style="1" width="12"/>
  </cols>
  <sheetData>
    <row r="1" customFormat="false" ht="33.75" hidden="false" customHeight="true" outlineLevel="0" collapsed="false">
      <c r="A1" s="7" t="s">
        <v>26</v>
      </c>
      <c r="B1" s="7" t="s">
        <v>45</v>
      </c>
      <c r="C1" s="7" t="s">
        <v>46</v>
      </c>
      <c r="D1" s="7" t="s">
        <v>47</v>
      </c>
      <c r="E1" s="7" t="s">
        <v>48</v>
      </c>
      <c r="F1" s="7" t="s">
        <v>49</v>
      </c>
      <c r="G1" s="7" t="s">
        <v>50</v>
      </c>
      <c r="H1" s="7" t="s">
        <v>51</v>
      </c>
      <c r="I1" s="7" t="s">
        <v>52</v>
      </c>
    </row>
    <row r="2" customFormat="false" ht="31.5" hidden="false" customHeight="true" outlineLevel="0" collapsed="false">
      <c r="A2" s="15" t="s">
        <v>34</v>
      </c>
      <c r="B2" s="16" t="s">
        <v>53</v>
      </c>
      <c r="C2" s="16" t="s">
        <v>54</v>
      </c>
      <c r="D2" s="16" t="s">
        <v>55</v>
      </c>
      <c r="E2" s="16" t="s">
        <v>56</v>
      </c>
      <c r="F2" s="16" t="s">
        <v>57</v>
      </c>
      <c r="G2" s="16" t="s">
        <v>58</v>
      </c>
      <c r="H2" s="16" t="s">
        <v>59</v>
      </c>
      <c r="I2" s="17" t="n">
        <v>15</v>
      </c>
    </row>
    <row r="3" customFormat="false" ht="31.5" hidden="false" customHeight="true" outlineLevel="0" collapsed="false">
      <c r="A3" s="18" t="s">
        <v>36</v>
      </c>
      <c r="B3" s="19" t="s">
        <v>60</v>
      </c>
      <c r="C3" s="19" t="s">
        <v>61</v>
      </c>
      <c r="D3" s="19" t="s">
        <v>62</v>
      </c>
      <c r="E3" s="19" t="s">
        <v>63</v>
      </c>
      <c r="F3" s="19" t="s">
        <v>64</v>
      </c>
      <c r="G3" s="19" t="s">
        <v>65</v>
      </c>
      <c r="H3" s="19" t="s">
        <v>59</v>
      </c>
      <c r="I3" s="20" t="n">
        <v>12</v>
      </c>
    </row>
    <row r="4" customFormat="false" ht="31.5" hidden="false" customHeight="true" outlineLevel="0" collapsed="false">
      <c r="A4" s="15" t="s">
        <v>37</v>
      </c>
      <c r="B4" s="16" t="s">
        <v>66</v>
      </c>
      <c r="C4" s="16" t="s">
        <v>67</v>
      </c>
      <c r="D4" s="16" t="s">
        <v>68</v>
      </c>
      <c r="E4" s="16" t="s">
        <v>69</v>
      </c>
      <c r="F4" s="16" t="s">
        <v>70</v>
      </c>
      <c r="G4" s="16" t="s">
        <v>71</v>
      </c>
      <c r="H4" s="16" t="s">
        <v>72</v>
      </c>
      <c r="I4" s="17" t="n">
        <v>15</v>
      </c>
    </row>
    <row r="5" customFormat="false" ht="31.5" hidden="false" customHeight="true" outlineLevel="0" collapsed="false">
      <c r="A5" s="18" t="s">
        <v>38</v>
      </c>
      <c r="B5" s="19" t="s">
        <v>73</v>
      </c>
      <c r="C5" s="19" t="s">
        <v>74</v>
      </c>
      <c r="D5" s="19" t="s">
        <v>62</v>
      </c>
      <c r="E5" s="19" t="s">
        <v>63</v>
      </c>
      <c r="F5" s="19" t="s">
        <v>75</v>
      </c>
      <c r="G5" s="19" t="s">
        <v>76</v>
      </c>
      <c r="H5" s="19" t="s">
        <v>72</v>
      </c>
      <c r="I5" s="20" t="n">
        <v>15</v>
      </c>
    </row>
    <row r="6" customFormat="false" ht="31.5" hidden="false" customHeight="true" outlineLevel="0" collapsed="false">
      <c r="A6" s="15" t="s">
        <v>39</v>
      </c>
      <c r="B6" s="16" t="s">
        <v>77</v>
      </c>
      <c r="C6" s="16" t="s">
        <v>78</v>
      </c>
      <c r="D6" s="16" t="s">
        <v>62</v>
      </c>
      <c r="E6" s="16" t="s">
        <v>63</v>
      </c>
      <c r="F6" s="16" t="s">
        <v>79</v>
      </c>
      <c r="G6" s="16" t="s">
        <v>80</v>
      </c>
      <c r="H6" s="16" t="s">
        <v>59</v>
      </c>
      <c r="I6" s="17" t="n">
        <v>12</v>
      </c>
    </row>
    <row r="7" customFormat="false" ht="15" hidden="false" customHeight="true" outlineLevel="0" collapsed="false">
      <c r="A7" s="21"/>
      <c r="B7" s="21"/>
      <c r="C7" s="21"/>
      <c r="D7" s="21"/>
      <c r="E7" s="21"/>
      <c r="F7" s="21"/>
      <c r="G7" s="21"/>
      <c r="H7" s="22" t="s">
        <v>81</v>
      </c>
      <c r="I7" s="23" t="n">
        <f aca="false">SUM(I2:I6)</f>
        <v>69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10"/>
    <col collapsed="false" customWidth="true" hidden="false" outlineLevel="0" max="4" min="4" style="1" width="16"/>
  </cols>
  <sheetData>
    <row r="1" customFormat="false" ht="24" hidden="false" customHeight="true" outlineLevel="0" collapsed="false">
      <c r="A1" s="7" t="s">
        <v>26</v>
      </c>
      <c r="B1" s="7" t="s">
        <v>82</v>
      </c>
      <c r="C1" s="7" t="s">
        <v>83</v>
      </c>
      <c r="D1" s="7" t="s">
        <v>84</v>
      </c>
    </row>
    <row r="2" customFormat="false" ht="15" hidden="false" customHeight="true" outlineLevel="0" collapsed="false">
      <c r="A2" s="15" t="s">
        <v>34</v>
      </c>
      <c r="B2" s="16" t="s">
        <v>85</v>
      </c>
      <c r="C2" s="17" t="n">
        <v>3</v>
      </c>
      <c r="D2" s="16" t="s">
        <v>59</v>
      </c>
    </row>
    <row r="3" customFormat="false" ht="15" hidden="false" customHeight="true" outlineLevel="0" collapsed="false">
      <c r="A3" s="15"/>
      <c r="B3" s="16" t="s">
        <v>86</v>
      </c>
      <c r="C3" s="17" t="n">
        <v>3</v>
      </c>
      <c r="D3" s="16" t="s">
        <v>59</v>
      </c>
    </row>
    <row r="4" customFormat="false" ht="15" hidden="false" customHeight="true" outlineLevel="0" collapsed="false">
      <c r="A4" s="15"/>
      <c r="B4" s="16" t="s">
        <v>87</v>
      </c>
      <c r="C4" s="17" t="n">
        <v>3</v>
      </c>
      <c r="D4" s="16" t="s">
        <v>59</v>
      </c>
    </row>
    <row r="5" customFormat="false" ht="15" hidden="false" customHeight="true" outlineLevel="0" collapsed="false">
      <c r="A5" s="15"/>
      <c r="B5" s="16" t="s">
        <v>88</v>
      </c>
      <c r="C5" s="17" t="n">
        <v>3</v>
      </c>
      <c r="D5" s="16" t="s">
        <v>59</v>
      </c>
    </row>
    <row r="6" customFormat="false" ht="15" hidden="false" customHeight="true" outlineLevel="0" collapsed="false">
      <c r="A6" s="15"/>
      <c r="B6" s="16" t="s">
        <v>89</v>
      </c>
      <c r="C6" s="17" t="n">
        <v>3</v>
      </c>
      <c r="D6" s="16" t="s">
        <v>90</v>
      </c>
    </row>
    <row r="7" customFormat="false" ht="15" hidden="false" customHeight="true" outlineLevel="0" collapsed="false">
      <c r="A7" s="18" t="s">
        <v>36</v>
      </c>
      <c r="B7" s="19" t="s">
        <v>86</v>
      </c>
      <c r="C7" s="20" t="n">
        <v>3</v>
      </c>
      <c r="D7" s="19" t="s">
        <v>59</v>
      </c>
    </row>
    <row r="8" customFormat="false" ht="15" hidden="false" customHeight="true" outlineLevel="0" collapsed="false">
      <c r="A8" s="18"/>
      <c r="B8" s="19" t="s">
        <v>91</v>
      </c>
      <c r="C8" s="20" t="n">
        <v>3</v>
      </c>
      <c r="D8" s="19" t="s">
        <v>59</v>
      </c>
    </row>
    <row r="9" customFormat="false" ht="15" hidden="false" customHeight="true" outlineLevel="0" collapsed="false">
      <c r="A9" s="18"/>
      <c r="B9" s="19" t="s">
        <v>88</v>
      </c>
      <c r="C9" s="20" t="n">
        <v>3</v>
      </c>
      <c r="D9" s="19" t="s">
        <v>59</v>
      </c>
    </row>
    <row r="10" customFormat="false" ht="15" hidden="false" customHeight="true" outlineLevel="0" collapsed="false">
      <c r="A10" s="18"/>
      <c r="B10" s="19" t="s">
        <v>92</v>
      </c>
      <c r="C10" s="20" t="n">
        <v>3</v>
      </c>
      <c r="D10" s="19" t="s">
        <v>59</v>
      </c>
    </row>
    <row r="11" customFormat="false" ht="15" hidden="false" customHeight="true" outlineLevel="0" collapsed="false">
      <c r="A11" s="15" t="s">
        <v>37</v>
      </c>
      <c r="B11" s="16" t="s">
        <v>86</v>
      </c>
      <c r="C11" s="17" t="n">
        <v>3</v>
      </c>
      <c r="D11" s="16" t="s">
        <v>59</v>
      </c>
    </row>
    <row r="12" customFormat="false" ht="15" hidden="false" customHeight="true" outlineLevel="0" collapsed="false">
      <c r="A12" s="15"/>
      <c r="B12" s="16" t="s">
        <v>93</v>
      </c>
      <c r="C12" s="17" t="n">
        <v>3</v>
      </c>
      <c r="D12" s="16" t="s">
        <v>59</v>
      </c>
    </row>
    <row r="13" customFormat="false" ht="15" hidden="false" customHeight="true" outlineLevel="0" collapsed="false">
      <c r="A13" s="15"/>
      <c r="B13" s="16" t="s">
        <v>88</v>
      </c>
      <c r="C13" s="17" t="n">
        <v>3</v>
      </c>
      <c r="D13" s="16" t="s">
        <v>59</v>
      </c>
    </row>
    <row r="14" customFormat="false" ht="15" hidden="false" customHeight="true" outlineLevel="0" collapsed="false">
      <c r="A14" s="15"/>
      <c r="B14" s="16" t="s">
        <v>92</v>
      </c>
      <c r="C14" s="17" t="n">
        <v>3</v>
      </c>
      <c r="D14" s="16" t="s">
        <v>59</v>
      </c>
    </row>
    <row r="15" customFormat="false" ht="15" hidden="false" customHeight="true" outlineLevel="0" collapsed="false">
      <c r="A15" s="15"/>
      <c r="B15" s="16" t="s">
        <v>89</v>
      </c>
      <c r="C15" s="17" t="n">
        <v>3</v>
      </c>
      <c r="D15" s="16" t="s">
        <v>90</v>
      </c>
    </row>
    <row r="16" customFormat="false" ht="15" hidden="false" customHeight="true" outlineLevel="0" collapsed="false">
      <c r="A16" s="18" t="s">
        <v>38</v>
      </c>
      <c r="B16" s="19" t="s">
        <v>94</v>
      </c>
      <c r="C16" s="20" t="n">
        <v>3</v>
      </c>
      <c r="D16" s="19" t="s">
        <v>59</v>
      </c>
    </row>
    <row r="17" customFormat="false" ht="15" hidden="false" customHeight="true" outlineLevel="0" collapsed="false">
      <c r="A17" s="18"/>
      <c r="B17" s="19" t="s">
        <v>86</v>
      </c>
      <c r="C17" s="20" t="n">
        <v>3</v>
      </c>
      <c r="D17" s="19" t="s">
        <v>59</v>
      </c>
    </row>
    <row r="18" customFormat="false" ht="15" hidden="false" customHeight="true" outlineLevel="0" collapsed="false">
      <c r="A18" s="18"/>
      <c r="B18" s="19" t="s">
        <v>95</v>
      </c>
      <c r="C18" s="20" t="n">
        <v>3</v>
      </c>
      <c r="D18" s="19" t="s">
        <v>59</v>
      </c>
    </row>
    <row r="19" customFormat="false" ht="15" hidden="false" customHeight="true" outlineLevel="0" collapsed="false">
      <c r="A19" s="18"/>
      <c r="B19" s="19" t="s">
        <v>88</v>
      </c>
      <c r="C19" s="20" t="n">
        <v>3</v>
      </c>
      <c r="D19" s="19" t="s">
        <v>59</v>
      </c>
    </row>
    <row r="20" customFormat="false" ht="15" hidden="false" customHeight="true" outlineLevel="0" collapsed="false">
      <c r="A20" s="18"/>
      <c r="B20" s="19" t="s">
        <v>92</v>
      </c>
      <c r="C20" s="20" t="n">
        <v>3</v>
      </c>
      <c r="D20" s="19" t="s">
        <v>59</v>
      </c>
    </row>
    <row r="21" customFormat="false" ht="15" hidden="false" customHeight="true" outlineLevel="0" collapsed="false">
      <c r="A21" s="15" t="s">
        <v>39</v>
      </c>
      <c r="B21" s="16" t="s">
        <v>86</v>
      </c>
      <c r="C21" s="17" t="n">
        <v>3</v>
      </c>
      <c r="D21" s="16" t="s">
        <v>59</v>
      </c>
    </row>
    <row r="22" customFormat="false" ht="15" hidden="false" customHeight="true" outlineLevel="0" collapsed="false">
      <c r="A22" s="15"/>
      <c r="B22" s="16" t="s">
        <v>96</v>
      </c>
      <c r="C22" s="17" t="n">
        <v>3</v>
      </c>
      <c r="D22" s="16" t="s">
        <v>59</v>
      </c>
    </row>
    <row r="23" customFormat="false" ht="15" hidden="false" customHeight="true" outlineLevel="0" collapsed="false">
      <c r="A23" s="15"/>
      <c r="B23" s="16" t="s">
        <v>88</v>
      </c>
      <c r="C23" s="17" t="n">
        <v>3</v>
      </c>
      <c r="D23" s="16" t="s">
        <v>59</v>
      </c>
    </row>
    <row r="24" customFormat="false" ht="15" hidden="false" customHeight="true" outlineLevel="0" collapsed="false">
      <c r="A24" s="15"/>
      <c r="B24" s="16" t="s">
        <v>92</v>
      </c>
      <c r="C24" s="17" t="n">
        <v>3</v>
      </c>
      <c r="D24" s="16" t="s">
        <v>59</v>
      </c>
    </row>
    <row r="25" customFormat="false" ht="15" hidden="false" customHeight="true" outlineLevel="0" collapsed="false">
      <c r="A25" s="21"/>
      <c r="B25" s="22" t="s">
        <v>97</v>
      </c>
      <c r="C25" s="23" t="n">
        <f aca="false">SUM(C2:C24)</f>
        <v>69</v>
      </c>
      <c r="D25" s="21"/>
    </row>
    <row r="27" customFormat="false" ht="27.75" hidden="false" customHeight="true" outlineLevel="0" collapsed="false">
      <c r="A27" s="14" t="s">
        <v>98</v>
      </c>
      <c r="B27" s="14"/>
      <c r="C27" s="14"/>
      <c r="D27" s="14"/>
    </row>
  </sheetData>
  <mergeCells count="6">
    <mergeCell ref="A2:A6"/>
    <mergeCell ref="A7:A10"/>
    <mergeCell ref="A11:A15"/>
    <mergeCell ref="A16:A20"/>
    <mergeCell ref="A21:A24"/>
    <mergeCell ref="A27:D2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6"/>
  </cols>
  <sheetData>
    <row r="1" customFormat="false" ht="24" hidden="false" customHeight="true" outlineLevel="0" collapsed="false">
      <c r="A1" s="7" t="s">
        <v>45</v>
      </c>
      <c r="B1" s="7" t="s">
        <v>26</v>
      </c>
      <c r="C1" s="7" t="s">
        <v>99</v>
      </c>
      <c r="D1" s="7" t="s">
        <v>100</v>
      </c>
    </row>
    <row r="2" customFormat="false" ht="25.5" hidden="false" customHeight="true" outlineLevel="0" collapsed="false">
      <c r="A2" s="16" t="s">
        <v>53</v>
      </c>
      <c r="B2" s="16" t="s">
        <v>34</v>
      </c>
      <c r="C2" s="16" t="s">
        <v>101</v>
      </c>
      <c r="D2" s="16" t="s">
        <v>102</v>
      </c>
    </row>
    <row r="3" customFormat="false" ht="25.5" hidden="false" customHeight="true" outlineLevel="0" collapsed="false">
      <c r="A3" s="19" t="s">
        <v>60</v>
      </c>
      <c r="B3" s="19" t="s">
        <v>36</v>
      </c>
      <c r="C3" s="19" t="s">
        <v>103</v>
      </c>
      <c r="D3" s="19" t="s">
        <v>104</v>
      </c>
    </row>
    <row r="4" customFormat="false" ht="25.5" hidden="false" customHeight="true" outlineLevel="0" collapsed="false">
      <c r="A4" s="16" t="s">
        <v>66</v>
      </c>
      <c r="B4" s="16" t="s">
        <v>37</v>
      </c>
      <c r="C4" s="16" t="s">
        <v>105</v>
      </c>
      <c r="D4" s="16" t="s">
        <v>106</v>
      </c>
    </row>
    <row r="5" customFormat="false" ht="25.5" hidden="false" customHeight="true" outlineLevel="0" collapsed="false">
      <c r="A5" s="19" t="s">
        <v>107</v>
      </c>
      <c r="B5" s="19" t="s">
        <v>38</v>
      </c>
      <c r="C5" s="19" t="s">
        <v>108</v>
      </c>
      <c r="D5" s="19" t="s">
        <v>109</v>
      </c>
    </row>
    <row r="6" customFormat="false" ht="25.5" hidden="false" customHeight="true" outlineLevel="0" collapsed="false">
      <c r="A6" s="16" t="s">
        <v>110</v>
      </c>
      <c r="B6" s="16" t="s">
        <v>39</v>
      </c>
      <c r="C6" s="16" t="s">
        <v>108</v>
      </c>
      <c r="D6" s="16" t="s">
        <v>111</v>
      </c>
    </row>
    <row r="7" customFormat="false" ht="25.5" hidden="false" customHeight="true" outlineLevel="0" collapsed="false">
      <c r="A7" s="19" t="s">
        <v>112</v>
      </c>
      <c r="B7" s="19" t="s">
        <v>38</v>
      </c>
      <c r="C7" s="19" t="s">
        <v>108</v>
      </c>
      <c r="D7" s="19" t="s">
        <v>113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2026-08-12T07:08:35Z</dcterms:created>
  <dc:creator>openpyxl</dc:creator>
  <dc:description/>
  <dc:language>en-US</dc:language>
  <cp:lastModifiedBy/>
  <dcterms:modified xsi:type="dcterms:W3CDTF">2026-08-12T22:39:01Z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